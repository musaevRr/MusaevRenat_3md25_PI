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5 ПИ\Мусаев Ренат\"/>
    </mc:Choice>
  </mc:AlternateContent>
  <xr:revisionPtr revIDLastSave="0" documentId="8_{C49DE67C-F222-47B6-83B6-67046C4A76FD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</calcChain>
</file>

<file path=xl/sharedStrings.xml><?xml version="1.0" encoding="utf-8"?>
<sst xmlns="http://schemas.openxmlformats.org/spreadsheetml/2006/main" count="305" uniqueCount="25">
  <si>
    <t>Фамилия</t>
  </si>
  <si>
    <t>Имя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</si>
  <si>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</si>
  <si>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</si>
  <si>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</si>
  <si>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</si>
  <si>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</si>
  <si>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</si>
  <si>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</si>
  <si>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</si>
  <si>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Не выбрано</t>
  </si>
  <si>
    <t>Всеволожск</t>
  </si>
  <si>
    <t>Пустой ввод</t>
  </si>
  <si>
    <t>Ж</t>
  </si>
  <si>
    <t>Уфа</t>
  </si>
  <si>
    <t>М</t>
  </si>
  <si>
    <t>Санкт-Петербург</t>
  </si>
  <si>
    <t>Луга</t>
  </si>
  <si>
    <t>Баку</t>
  </si>
  <si>
    <t>Елабуга</t>
  </si>
  <si>
    <t>Москва</t>
  </si>
  <si>
    <t>Омск</t>
  </si>
  <si>
    <t>Тбилиси</t>
  </si>
  <si>
    <t>Ереван</t>
  </si>
  <si>
    <t>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</si>
</sst>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>
      <pane xSplit="1" ySplit="1" topLeftCell="B8" activePane="bottomRight" state="frozen"/>
      <selection pane="topRight"/>
      <selection pane="bottomLeft"/>
      <selection pane="bottomRight" activeCell="J35" sqref="J35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35.4257812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11</v>
      </c>
      <c r="I2" s="2" t="s">
        <v>9</v>
      </c>
      <c r="J2" s="2" t="str">
        <f>IF(AND(B2="Заполнено корректно", C2="Заполнено корректно", AND(D2="Заполнено корректно", D2="Пустой ввод"), E2="Заполнено корректно", F2="Заполнено корректно", AND(G2="М", G2="Ж"), I2="Заполнено корректно"), "Зарегистрирован", "Не зарегистрирован")</f>
        <v>Не зарегистрирован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12</v>
      </c>
      <c r="J3" s="2" t="str">
        <f t="shared" ref="J3:J34" si="0">IF(AND(B3="Заполнено корректно", C3="Заполнено корректно", AND(D3="Заполнено корректно", D3="Пустой ввод"), E3="Заполнено корректно", F3="Заполнено корректно", AND(G3="М", G3="Ж"), I3="Заполнено корректно"), "Зарегистрирован", "Не зарегистрирован")</f>
        <v>Не зарегистрирован</v>
      </c>
    </row>
    <row r="4" spans="1:10" s="2" customFormat="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 t="s">
        <v>9</v>
      </c>
      <c r="G4" s="2" t="s">
        <v>15</v>
      </c>
      <c r="H4" s="2" t="s">
        <v>16</v>
      </c>
      <c r="I4" s="2" t="s">
        <v>8</v>
      </c>
      <c r="J4" s="2" t="str">
        <f t="shared" si="0"/>
        <v>Не зарегистрирован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9</v>
      </c>
      <c r="G5" s="2" t="s">
        <v>15</v>
      </c>
      <c r="H5" s="2" t="s">
        <v>17</v>
      </c>
      <c r="I5" s="2" t="s">
        <v>9</v>
      </c>
      <c r="J5" s="2" t="str">
        <f t="shared" si="0"/>
        <v>Не зарегистрирован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9</v>
      </c>
      <c r="F6" s="2" t="s">
        <v>9</v>
      </c>
      <c r="G6" s="2" t="s">
        <v>13</v>
      </c>
      <c r="H6" s="2" t="s">
        <v>18</v>
      </c>
      <c r="I6" s="2" t="s">
        <v>8</v>
      </c>
      <c r="J6" s="2" t="str">
        <f t="shared" si="0"/>
        <v>Не зарегистрирован</v>
      </c>
    </row>
    <row r="7" spans="1:10" s="2" customFormat="1" x14ac:dyDescent="0.25">
      <c r="A7" s="1">
        <v>6</v>
      </c>
      <c r="B7" s="2" t="s">
        <v>9</v>
      </c>
      <c r="C7" s="2" t="s">
        <v>12</v>
      </c>
      <c r="D7" s="2" t="s">
        <v>9</v>
      </c>
      <c r="E7" s="2" t="s">
        <v>12</v>
      </c>
      <c r="F7" s="2" t="s">
        <v>12</v>
      </c>
      <c r="G7" s="2" t="s">
        <v>10</v>
      </c>
      <c r="H7" s="2" t="s">
        <v>19</v>
      </c>
      <c r="I7" s="2" t="s">
        <v>12</v>
      </c>
      <c r="J7" s="2" t="str">
        <f t="shared" si="0"/>
        <v>Не зарегистрирован</v>
      </c>
    </row>
    <row r="8" spans="1:10" s="2" customFormat="1" x14ac:dyDescent="0.25">
      <c r="A8" s="1">
        <v>7</v>
      </c>
      <c r="B8" s="2" t="s">
        <v>12</v>
      </c>
      <c r="C8" s="2" t="s">
        <v>8</v>
      </c>
      <c r="D8" s="2" t="s">
        <v>12</v>
      </c>
      <c r="E8" s="2" t="s">
        <v>12</v>
      </c>
      <c r="F8" s="2" t="s">
        <v>8</v>
      </c>
      <c r="G8" s="2" t="s">
        <v>13</v>
      </c>
      <c r="H8" s="2" t="s">
        <v>20</v>
      </c>
      <c r="I8" s="2" t="s">
        <v>8</v>
      </c>
      <c r="J8" s="2" t="str">
        <f t="shared" si="0"/>
        <v>Не зарегистрирован</v>
      </c>
    </row>
    <row r="9" spans="1:10" s="2" customFormat="1" x14ac:dyDescent="0.25">
      <c r="A9" s="1">
        <v>8</v>
      </c>
      <c r="B9" s="2" t="s">
        <v>12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15</v>
      </c>
      <c r="H9" s="2" t="s">
        <v>21</v>
      </c>
      <c r="I9" s="2" t="s">
        <v>12</v>
      </c>
      <c r="J9" s="2" t="str">
        <f t="shared" si="0"/>
        <v>Не зарегистрирован</v>
      </c>
    </row>
    <row r="10" spans="1:10" s="2" customFormat="1" x14ac:dyDescent="0.25">
      <c r="A10" s="1">
        <v>9</v>
      </c>
      <c r="B10" s="2" t="s">
        <v>12</v>
      </c>
      <c r="C10" s="2" t="s">
        <v>12</v>
      </c>
      <c r="D10" s="2" t="s">
        <v>8</v>
      </c>
      <c r="E10" s="2" t="s">
        <v>8</v>
      </c>
      <c r="F10" s="2" t="s">
        <v>8</v>
      </c>
      <c r="G10" s="2" t="s">
        <v>13</v>
      </c>
      <c r="H10" s="2" t="s">
        <v>22</v>
      </c>
      <c r="I10" s="2" t="s">
        <v>9</v>
      </c>
      <c r="J10" s="2" t="str">
        <f t="shared" si="0"/>
        <v>Не зарегистрирован</v>
      </c>
    </row>
    <row r="11" spans="1:10" s="2" customFormat="1" x14ac:dyDescent="0.25">
      <c r="A11" s="1">
        <v>10</v>
      </c>
      <c r="B11" s="2" t="s">
        <v>9</v>
      </c>
      <c r="C11" s="2" t="s">
        <v>9</v>
      </c>
      <c r="D11" s="2" t="s">
        <v>12</v>
      </c>
      <c r="E11" s="2" t="s">
        <v>12</v>
      </c>
      <c r="F11" s="2" t="s">
        <v>8</v>
      </c>
      <c r="G11" s="2" t="s">
        <v>10</v>
      </c>
      <c r="H11" s="2" t="s">
        <v>23</v>
      </c>
      <c r="I11" s="2" t="s">
        <v>9</v>
      </c>
      <c r="J11" s="2" t="str">
        <f t="shared" si="0"/>
        <v>Не зарегистрирован</v>
      </c>
    </row>
    <row r="12" spans="1:10" s="2" customFormat="1" x14ac:dyDescent="0.25">
      <c r="A12" s="1">
        <v>11</v>
      </c>
      <c r="B12" s="2" t="s">
        <v>12</v>
      </c>
      <c r="C12" s="2" t="s">
        <v>12</v>
      </c>
      <c r="D12" s="2" t="s">
        <v>8</v>
      </c>
      <c r="E12" s="2" t="s">
        <v>9</v>
      </c>
      <c r="F12" s="2" t="s">
        <v>9</v>
      </c>
      <c r="G12" s="2" t="s">
        <v>15</v>
      </c>
      <c r="H12" s="2" t="s">
        <v>23</v>
      </c>
      <c r="I12" s="2" t="s">
        <v>12</v>
      </c>
      <c r="J12" s="2" t="str">
        <f t="shared" si="0"/>
        <v>Не зарегистрирован</v>
      </c>
    </row>
    <row r="13" spans="1:10" s="2" customFormat="1" x14ac:dyDescent="0.25">
      <c r="A13" s="1">
        <v>12</v>
      </c>
      <c r="B13" s="2" t="s">
        <v>12</v>
      </c>
      <c r="C13" s="2" t="s">
        <v>12</v>
      </c>
      <c r="D13" s="2" t="s">
        <v>12</v>
      </c>
      <c r="E13" s="2" t="s">
        <v>9</v>
      </c>
      <c r="F13" s="2" t="s">
        <v>12</v>
      </c>
      <c r="G13" s="2" t="s">
        <v>10</v>
      </c>
      <c r="H13" s="2" t="s">
        <v>17</v>
      </c>
      <c r="I13" s="2" t="s">
        <v>8</v>
      </c>
      <c r="J13" s="2" t="str">
        <f t="shared" si="0"/>
        <v>Не зарегистрирован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12</v>
      </c>
      <c r="E14" s="2" t="s">
        <v>8</v>
      </c>
      <c r="F14" s="2" t="s">
        <v>8</v>
      </c>
      <c r="G14" s="2" t="s">
        <v>10</v>
      </c>
      <c r="H14" s="2" t="s">
        <v>17</v>
      </c>
      <c r="I14" s="2" t="s">
        <v>12</v>
      </c>
      <c r="J14" s="2" t="str">
        <f t="shared" si="0"/>
        <v>Не зарегистрирован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12</v>
      </c>
      <c r="E15" s="2" t="s">
        <v>8</v>
      </c>
      <c r="F15" s="2" t="s">
        <v>9</v>
      </c>
      <c r="G15" s="2" t="s">
        <v>15</v>
      </c>
      <c r="H15" s="2" t="s">
        <v>19</v>
      </c>
      <c r="I15" s="2" t="s">
        <v>8</v>
      </c>
      <c r="J15" s="2" t="str">
        <f t="shared" si="0"/>
        <v>Не зарегистрирован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9</v>
      </c>
      <c r="E16" s="2" t="s">
        <v>8</v>
      </c>
      <c r="F16" s="2" t="s">
        <v>8</v>
      </c>
      <c r="G16" s="2" t="s">
        <v>10</v>
      </c>
      <c r="H16" s="2" t="s">
        <v>18</v>
      </c>
      <c r="I16" s="2" t="s">
        <v>12</v>
      </c>
      <c r="J16" s="2" t="str">
        <f t="shared" si="0"/>
        <v>Не зарегистрирован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9</v>
      </c>
      <c r="E17" s="2" t="s">
        <v>8</v>
      </c>
      <c r="F17" s="2" t="s">
        <v>12</v>
      </c>
      <c r="G17" s="2" t="s">
        <v>13</v>
      </c>
      <c r="H17" s="2" t="s">
        <v>23</v>
      </c>
      <c r="I17" s="2" t="s">
        <v>8</v>
      </c>
      <c r="J17" s="2" t="str">
        <f t="shared" si="0"/>
        <v>Не зарегистрирован</v>
      </c>
    </row>
    <row r="18" spans="1:10" s="2" customFormat="1" x14ac:dyDescent="0.25">
      <c r="A18" s="1">
        <v>17</v>
      </c>
      <c r="B18" s="2" t="s">
        <v>8</v>
      </c>
      <c r="C18" s="2" t="s">
        <v>8</v>
      </c>
      <c r="D18" s="2" t="s">
        <v>12</v>
      </c>
      <c r="E18" s="2" t="s">
        <v>9</v>
      </c>
      <c r="F18" s="2" t="s">
        <v>9</v>
      </c>
      <c r="G18" s="2" t="s">
        <v>10</v>
      </c>
      <c r="H18" s="2" t="s">
        <v>22</v>
      </c>
      <c r="I18" s="2" t="s">
        <v>8</v>
      </c>
      <c r="J18" s="2" t="str">
        <f t="shared" si="0"/>
        <v>Не зарегистрирован</v>
      </c>
    </row>
    <row r="19" spans="1:10" s="2" customFormat="1" x14ac:dyDescent="0.25">
      <c r="A19" s="1">
        <v>18</v>
      </c>
      <c r="B19" s="2" t="s">
        <v>8</v>
      </c>
      <c r="C19" s="2" t="s">
        <v>12</v>
      </c>
      <c r="D19" s="2" t="s">
        <v>9</v>
      </c>
      <c r="E19" s="2" t="s">
        <v>9</v>
      </c>
      <c r="F19" s="2" t="s">
        <v>12</v>
      </c>
      <c r="G19" s="2" t="s">
        <v>10</v>
      </c>
      <c r="H19" s="2" t="s">
        <v>20</v>
      </c>
      <c r="I19" s="2" t="s">
        <v>9</v>
      </c>
      <c r="J19" s="2" t="str">
        <f t="shared" si="0"/>
        <v>Не зарегистрирован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12</v>
      </c>
      <c r="E20" s="2" t="s">
        <v>8</v>
      </c>
      <c r="F20" s="2" t="s">
        <v>12</v>
      </c>
      <c r="G20" s="2" t="s">
        <v>15</v>
      </c>
      <c r="H20" s="2" t="s">
        <v>21</v>
      </c>
      <c r="I20" s="2" t="s">
        <v>8</v>
      </c>
      <c r="J20" s="2" t="str">
        <f t="shared" si="0"/>
        <v>Не зарегистрирован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8</v>
      </c>
      <c r="E21" s="2" t="s">
        <v>9</v>
      </c>
      <c r="F21" s="2" t="s">
        <v>8</v>
      </c>
      <c r="G21" s="2" t="s">
        <v>13</v>
      </c>
      <c r="H21" s="2" t="s">
        <v>16</v>
      </c>
      <c r="I21" s="2" t="s">
        <v>12</v>
      </c>
      <c r="J21" s="2" t="str">
        <f t="shared" si="0"/>
        <v>Не зарегистрирован</v>
      </c>
    </row>
    <row r="22" spans="1:10" s="2" customFormat="1" x14ac:dyDescent="0.25">
      <c r="A22" s="1">
        <v>21</v>
      </c>
      <c r="B22" s="2" t="s">
        <v>9</v>
      </c>
      <c r="C22" s="2" t="s">
        <v>12</v>
      </c>
      <c r="D22" s="2" t="s">
        <v>8</v>
      </c>
      <c r="E22" s="2" t="s">
        <v>12</v>
      </c>
      <c r="F22" s="2" t="s">
        <v>12</v>
      </c>
      <c r="G22" s="2" t="s">
        <v>15</v>
      </c>
      <c r="H22" s="2" t="s">
        <v>11</v>
      </c>
      <c r="I22" s="2" t="s">
        <v>12</v>
      </c>
      <c r="J22" s="2" t="str">
        <f t="shared" si="0"/>
        <v>Не зарегистрирован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9</v>
      </c>
      <c r="E23" s="2" t="s">
        <v>12</v>
      </c>
      <c r="F23" s="2" t="s">
        <v>12</v>
      </c>
      <c r="G23" s="2" t="s">
        <v>15</v>
      </c>
      <c r="H23" s="2" t="s">
        <v>22</v>
      </c>
      <c r="I23" s="2" t="s">
        <v>12</v>
      </c>
      <c r="J23" s="2" t="str">
        <f t="shared" si="0"/>
        <v>Не зарегистрирован</v>
      </c>
    </row>
    <row r="24" spans="1:10" s="2" customFormat="1" x14ac:dyDescent="0.25">
      <c r="A24" s="1">
        <v>23</v>
      </c>
      <c r="B24" s="2" t="s">
        <v>9</v>
      </c>
      <c r="C24" s="2" t="s">
        <v>8</v>
      </c>
      <c r="D24" s="2" t="s">
        <v>8</v>
      </c>
      <c r="E24" s="2" t="s">
        <v>12</v>
      </c>
      <c r="F24" s="2" t="s">
        <v>8</v>
      </c>
      <c r="G24" s="2" t="s">
        <v>15</v>
      </c>
      <c r="H24" s="2" t="s">
        <v>14</v>
      </c>
      <c r="I24" s="2" t="s">
        <v>8</v>
      </c>
      <c r="J24" s="2" t="str">
        <f t="shared" si="0"/>
        <v>Не зарегистрирован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8</v>
      </c>
      <c r="E25" s="2" t="s">
        <v>8</v>
      </c>
      <c r="F25" s="2" t="s">
        <v>9</v>
      </c>
      <c r="G25" s="2" t="s">
        <v>15</v>
      </c>
      <c r="H25" s="2" t="s">
        <v>20</v>
      </c>
      <c r="I25" s="2" t="s">
        <v>12</v>
      </c>
      <c r="J25" s="2" t="str">
        <f t="shared" si="0"/>
        <v>Не зарегистрирован</v>
      </c>
    </row>
    <row r="26" spans="1:10" s="2" customFormat="1" x14ac:dyDescent="0.25">
      <c r="A26" s="1">
        <v>25</v>
      </c>
      <c r="B26" s="2" t="s">
        <v>9</v>
      </c>
      <c r="C26" s="2" t="s">
        <v>12</v>
      </c>
      <c r="D26" s="2" t="s">
        <v>8</v>
      </c>
      <c r="E26" s="2" t="s">
        <v>12</v>
      </c>
      <c r="F26" s="2" t="s">
        <v>9</v>
      </c>
      <c r="G26" s="2" t="s">
        <v>10</v>
      </c>
      <c r="H26" s="2" t="s">
        <v>21</v>
      </c>
      <c r="I26" s="2" t="s">
        <v>9</v>
      </c>
      <c r="J26" s="2" t="str">
        <f t="shared" si="0"/>
        <v>Не зарегистрирован</v>
      </c>
    </row>
    <row r="27" spans="1:10" s="2" customFormat="1" x14ac:dyDescent="0.25">
      <c r="A27" s="1">
        <v>26</v>
      </c>
      <c r="B27" s="2" t="s">
        <v>12</v>
      </c>
      <c r="C27" s="2" t="s">
        <v>9</v>
      </c>
      <c r="D27" s="2" t="s">
        <v>9</v>
      </c>
      <c r="E27" s="2" t="s">
        <v>8</v>
      </c>
      <c r="F27" s="2" t="s">
        <v>12</v>
      </c>
      <c r="G27" s="2" t="s">
        <v>10</v>
      </c>
      <c r="H27" s="2" t="s">
        <v>16</v>
      </c>
      <c r="I27" s="2" t="s">
        <v>9</v>
      </c>
      <c r="J27" s="2" t="str">
        <f t="shared" si="0"/>
        <v>Не зарегистрирован</v>
      </c>
    </row>
    <row r="28" spans="1:10" s="2" customFormat="1" x14ac:dyDescent="0.25">
      <c r="A28" s="1">
        <v>27</v>
      </c>
      <c r="B28" s="2" t="s">
        <v>12</v>
      </c>
      <c r="C28" s="2" t="s">
        <v>9</v>
      </c>
      <c r="D28" s="2" t="s">
        <v>9</v>
      </c>
      <c r="E28" s="2" t="s">
        <v>8</v>
      </c>
      <c r="F28" s="2" t="s">
        <v>9</v>
      </c>
      <c r="G28" s="2" t="s">
        <v>13</v>
      </c>
      <c r="H28" s="2" t="s">
        <v>11</v>
      </c>
      <c r="I28" s="2" t="s">
        <v>8</v>
      </c>
      <c r="J28" s="2" t="str">
        <f t="shared" si="0"/>
        <v>Не зарегистрирован</v>
      </c>
    </row>
    <row r="29" spans="1:10" s="2" customFormat="1" x14ac:dyDescent="0.25">
      <c r="A29" s="1">
        <v>28</v>
      </c>
      <c r="B29" s="2" t="s">
        <v>12</v>
      </c>
      <c r="C29" s="2" t="s">
        <v>9</v>
      </c>
      <c r="D29" s="2" t="s">
        <v>8</v>
      </c>
      <c r="E29" s="2" t="s">
        <v>9</v>
      </c>
      <c r="F29" s="2" t="s">
        <v>8</v>
      </c>
      <c r="G29" s="2" t="s">
        <v>13</v>
      </c>
      <c r="H29" s="2" t="s">
        <v>19</v>
      </c>
      <c r="I29" s="2" t="s">
        <v>9</v>
      </c>
      <c r="J29" s="2" t="str">
        <f t="shared" si="0"/>
        <v>Не зарегистрирован</v>
      </c>
    </row>
    <row r="30" spans="1:10" s="2" customFormat="1" x14ac:dyDescent="0.25">
      <c r="A30" s="1">
        <v>29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15</v>
      </c>
      <c r="H30" s="2" t="s">
        <v>18</v>
      </c>
      <c r="I30" s="2" t="s">
        <v>9</v>
      </c>
      <c r="J30" s="2" t="str">
        <f t="shared" si="0"/>
        <v>Не зарегистрирован</v>
      </c>
    </row>
    <row r="31" spans="1:10" s="2" customFormat="1" x14ac:dyDescent="0.25">
      <c r="A31" s="1">
        <v>30</v>
      </c>
      <c r="B31" s="2" t="s">
        <v>12</v>
      </c>
      <c r="C31" s="2" t="s">
        <v>12</v>
      </c>
      <c r="D31" s="2" t="s">
        <v>12</v>
      </c>
      <c r="E31" s="2" t="s">
        <v>9</v>
      </c>
      <c r="F31" s="2" t="s">
        <v>9</v>
      </c>
      <c r="G31" s="2" t="s">
        <v>10</v>
      </c>
      <c r="H31" s="2" t="s">
        <v>14</v>
      </c>
      <c r="I31" s="2" t="s">
        <v>9</v>
      </c>
      <c r="J31" s="2" t="str">
        <f t="shared" si="0"/>
        <v>Не зарегистрирован</v>
      </c>
    </row>
    <row r="32" spans="1:10" s="2" customFormat="1" x14ac:dyDescent="0.25">
      <c r="A32" s="1">
        <v>31</v>
      </c>
      <c r="B32" s="2" t="s">
        <v>8</v>
      </c>
      <c r="C32" s="2" t="s">
        <v>12</v>
      </c>
      <c r="D32" s="2" t="s">
        <v>8</v>
      </c>
      <c r="E32" s="2" t="s">
        <v>12</v>
      </c>
      <c r="F32" s="2" t="s">
        <v>9</v>
      </c>
      <c r="G32" s="2" t="s">
        <v>13</v>
      </c>
      <c r="H32" s="2" t="s">
        <v>17</v>
      </c>
      <c r="I32" s="2" t="s">
        <v>12</v>
      </c>
      <c r="J32" s="2" t="str">
        <f t="shared" si="0"/>
        <v>Не зарегистрирован</v>
      </c>
    </row>
    <row r="33" spans="1:10" s="2" customFormat="1" x14ac:dyDescent="0.25">
      <c r="A33" s="1">
        <v>32</v>
      </c>
      <c r="B33" s="2" t="s">
        <v>8</v>
      </c>
      <c r="C33" s="2" t="s">
        <v>9</v>
      </c>
      <c r="D33" s="2" t="s">
        <v>12</v>
      </c>
      <c r="E33" s="2" t="s">
        <v>12</v>
      </c>
      <c r="F33" s="2" t="s">
        <v>8</v>
      </c>
      <c r="G33" s="2" t="s">
        <v>10</v>
      </c>
      <c r="H33" s="2" t="s">
        <v>11</v>
      </c>
      <c r="I33" s="2" t="s">
        <v>9</v>
      </c>
      <c r="J33" s="2" t="str">
        <f t="shared" si="0"/>
        <v>Не зарегистрирован</v>
      </c>
    </row>
    <row r="34" spans="1:10" s="2" customFormat="1" x14ac:dyDescent="0.25">
      <c r="A34" s="1">
        <v>33</v>
      </c>
      <c r="B34" s="2" t="s">
        <v>12</v>
      </c>
      <c r="C34" s="2" t="s">
        <v>9</v>
      </c>
      <c r="D34" s="2" t="s">
        <v>12</v>
      </c>
      <c r="E34" s="2" t="s">
        <v>8</v>
      </c>
      <c r="F34" s="2" t="s">
        <v>9</v>
      </c>
      <c r="G34" s="2" t="s">
        <v>13</v>
      </c>
      <c r="H34" s="2" t="s">
        <v>21</v>
      </c>
      <c r="I34" s="2" t="s">
        <v>8</v>
      </c>
      <c r="J34" s="2" t="str">
        <f t="shared" si="0"/>
        <v>Не зарегистрирован</v>
      </c>
    </row>
    <row r="35" spans="1:10" x14ac:dyDescent="0.25">
      <c r="B35" s="2" t="s">
        <v>8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15</v>
      </c>
      <c r="H35" s="3" t="s">
        <v>16</v>
      </c>
      <c r="I35" s="2" t="s">
        <v>8</v>
      </c>
      <c r="J35" s="2" t="str">
        <f>IF(AND(B35="Заполнено корректно", C35="Заполнено корректно", OR(D35="Заполнено корректно", D35="Пустой ввод"), E35="Заполнено корректно", F35="Заполнено корректно", OR(G35="М", G35="Ж"), I35="Заполнено корректно"), "Зарегистрирован", "Не зарегистрирован")</f>
        <v>Зарегистрирован</v>
      </c>
    </row>
    <row r="36" spans="1:10" x14ac:dyDescent="0.25">
      <c r="B36" s="2" t="s">
        <v>8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13</v>
      </c>
      <c r="H36" s="3" t="s">
        <v>16</v>
      </c>
      <c r="I36" s="2" t="s">
        <v>8</v>
      </c>
      <c r="J36" s="2" t="str">
        <f>IF(AND(B36="Заполнено корректно", C36="Заполнено корректно", OR(D36="Заполнено корректно", D36="Пустой ввод"), E36="Заполнено корректно", F36="Заполнено корректно", OR(G36="М", G36="Ж"), I36="Заполнено корректно"), "Зарегистрирован", "Не зарегистрирован")</f>
        <v>Зарегистрирован</v>
      </c>
    </row>
    <row r="37" spans="1:10" x14ac:dyDescent="0.25">
      <c r="B37" s="2" t="s">
        <v>8</v>
      </c>
      <c r="C37" s="2" t="s">
        <v>8</v>
      </c>
      <c r="D37" s="4" t="s">
        <v>12</v>
      </c>
      <c r="E37" s="2" t="s">
        <v>8</v>
      </c>
      <c r="F37" s="2" t="s">
        <v>8</v>
      </c>
      <c r="G37" s="2" t="s">
        <v>15</v>
      </c>
      <c r="H37" s="3" t="s">
        <v>16</v>
      </c>
      <c r="I37" s="2" t="s">
        <v>8</v>
      </c>
      <c r="J37" s="2" t="str">
        <f>IF(AND(B37="Заполнено корректно", C37="Заполнено корректно", OR(D37="Заполнено корректно", D37="Пустой ввод"), E37="Заполнено корректно", F37="Заполнено корректно", OR(G37="М", G37="Ж"), I37="Заполнено корректно"), "Зарегистрирован", "Не зарегистрирован")</f>
        <v>Зарегистрирован</v>
      </c>
    </row>
    <row r="38" spans="1:10" x14ac:dyDescent="0.25">
      <c r="B38" s="2" t="s">
        <v>8</v>
      </c>
      <c r="C38" s="2" t="s">
        <v>8</v>
      </c>
      <c r="D38" s="4" t="s">
        <v>12</v>
      </c>
      <c r="E38" s="2" t="s">
        <v>8</v>
      </c>
      <c r="F38" s="2" t="s">
        <v>8</v>
      </c>
      <c r="G38" s="4" t="s">
        <v>13</v>
      </c>
      <c r="H38" s="3" t="s">
        <v>16</v>
      </c>
      <c r="I38" s="2" t="s">
        <v>8</v>
      </c>
      <c r="J38" s="2" t="str">
        <f>IF(AND(B38="Заполнено корректно", C38="Заполнено корректно", OR(D38="Заполнено корректно", D38="Пустой ввод"), E38="Заполнено корректно", F38="Заполнено корректно", OR(G38="М", G38="Ж"), I38="Заполнено корректно"), "Зарегистрирован", "Не зарегистрирован")</f>
        <v>Зарегистрирован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2026-09-19T14:14:31Z</dcterms:created>
  <dcterms:modified xsi:type="dcterms:W3CDTF">2026-09-19T14:24:18Z</dcterms:modified>
  <cp:category>Pairwise Online Tool</cp:category>
</cp:coreProperties>
</file>